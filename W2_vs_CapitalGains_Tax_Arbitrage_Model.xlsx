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<sst xmlns="http://schemas.openxmlformats.org/spreadsheetml/2006/main" count="14" uniqueCount="14">
  <si>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Metric / Income Type</t>
  </si>
  <si>
    <t>W-2 Salary (Labor Income)</t>
  </si>
  <si>
    <t>Long-term Capital Gains (LTCG / Capital)</t>
  </si>
  <si>
    <t>Variance / Delta (Capital Advantage)</t>
  </si>
  <si>
    <t>Gross Income</t>
  </si>
  <si>
    <t>Standard Deduction</t>
  </si>
  <si>
    <t>Taxable Income</t>
  </si>
  <si>
    <t>FICA Payroll Taxes (7.65%)</t>
  </si>
  <si>
    <t>Federal Income Tax</t>
  </si>
  <si>
    <t>MN State Tax (~7%)</t>
  </si>
  <si>
    <t>Total Taxes Paid</t>
  </si>
  <si>
    <t>Net Cash in Hand</t>
  </si>
  <si>
    <t>Effective Tax Rate</t>
  </si>
  <si>
    <t>Key Takeaway: W-2 wages lose nearly 31% to mandatory FICA taxes and steep progressive brackets. Capital gains skip FICA entirely and cap out at a 15% preferential rate, leaving +$23,757 more cash in your pocket on the same $150,000. The game is simple: minimize ordinary income, convert cash flow into capital assets.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</si>
</sst>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"/>
  </numFmts>
  <fonts count="8">
    <font>
      <sz val="10.0"/>
      <color rgb="FF000000"/>
      <name val="Arial"/>
      <scheme val="minor"/>
    </font>
    <font>
      <b/>
      <sz val="11.0"/>
      <color rgb="FF000000"/>
      <name val="Roboto"/>
    </font>
    <font>
      <b/>
      <color theme="1"/>
      <name val="Arial"/>
      <scheme val="minor"/>
    </font>
    <font>
      <sz val="10.0"/>
      <color rgb="FF000000"/>
      <name val="Roboto"/>
    </font>
    <font>
      <sz val="10.0"/>
      <color rgb="FF1154CC"/>
      <name val="Roboto"/>
    </font>
    <font>
      <color rgb="FF000000"/>
      <name val="Arial"/>
      <scheme val="minor"/>
    </font>
    <font>
      <b/>
      <sz val="10.0"/>
      <color rgb="FF000000"/>
      <name val="Roboto"/>
    </font>
    <font>
      <i/>
      <sz val="10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164" xfId="0" applyAlignment="1" applyFill="1" applyFont="1" applyNumberFormat="1">
      <alignment readingOrder="0"/>
    </xf>
    <xf borderId="0" fillId="0" fontId="5" numFmtId="164" xfId="0" applyFont="1" applyNumberFormat="1"/>
    <xf borderId="0" fillId="2" fontId="3" numFmtId="164" xfId="0" applyFill="1" applyFont="1" applyNumberFormat="1"/>
    <xf borderId="0" fillId="2" fontId="3" numFmtId="164" xfId="0" applyAlignment="1" applyFill="1" applyFont="1" applyNumberFormat="1">
      <alignment readingOrder="0"/>
    </xf>
    <xf borderId="0" fillId="2" fontId="6" numFmtId="0" xfId="0" applyAlignment="1" applyFill="1" applyFont="1">
      <alignment readingOrder="0"/>
    </xf>
    <xf borderId="0" fillId="2" fontId="6" numFmtId="164" xfId="0" applyFill="1" applyFont="1" applyNumberFormat="1"/>
    <xf borderId="0" fillId="2" fontId="3" numFmtId="10" xfId="0" applyFill="1" applyFont="1" applyNumberFormat="1"/>
    <xf borderId="0" fillId="0" fontId="5" numFmtId="10" xfId="0" applyFont="1" applyNumberFormat="1"/>
    <xf borderId="0" fillId="2" fontId="3" numFmtId="0" xfId="0" applyFill="1" applyFont="1"/>
    <xf borderId="0" fillId="2" fontId="7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2" width="23.13"/>
    <col customWidth="1" min="3" max="3" width="35.0"/>
    <col customWidth="1" min="4" max="4" width="27.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150000.0</v>
      </c>
      <c r="C2" s="4">
        <v>150000.0</v>
      </c>
      <c r="D2" s="5">
        <f t="shared" ref="D2:D10" si="1">C2-B2</f>
        <v>0</v>
      </c>
    </row>
    <row r="3">
      <c r="A3" s="3" t="s">
        <v>5</v>
      </c>
      <c r="B3" s="4">
        <v>14600.0</v>
      </c>
      <c r="C3" s="4">
        <v>14600.0</v>
      </c>
      <c r="D3" s="5">
        <f t="shared" si="1"/>
        <v>0</v>
      </c>
    </row>
    <row r="4">
      <c r="A4" s="3" t="s">
        <v>6</v>
      </c>
      <c r="B4" s="6">
        <f t="shared" ref="B4:C4" si="2">B2-B3</f>
        <v>135400</v>
      </c>
      <c r="C4" s="6">
        <f t="shared" si="2"/>
        <v>135400</v>
      </c>
      <c r="D4" s="5">
        <f t="shared" si="1"/>
        <v>0</v>
      </c>
    </row>
    <row r="5">
      <c r="A5" s="3" t="s">
        <v>7</v>
      </c>
      <c r="B5" s="6">
        <f>B2*0.0765</f>
        <v>11475</v>
      </c>
      <c r="C5" s="7">
        <v>0.0</v>
      </c>
      <c r="D5" s="5">
        <f t="shared" si="1"/>
        <v>-11475</v>
      </c>
    </row>
    <row r="6">
      <c r="A6" s="3" t="s">
        <v>8</v>
      </c>
      <c r="B6" s="7">
        <f>IF(B4&lt;=11600, B4*0.1, IF(B4&lt;=47150, 1160 + (B4-11600)*0.12, IF(B4&lt;=100525, 5426 + (B4-47150)*0.22, IF(B4&lt;=191950, 17168.5 + (B4-100525)*0.24, IF(B4&lt;=243725, 39110.5 + (B4-191950)*0.32, IF(B4&lt;=609350, 55678.5 + (B4-243725)*0.35, 183647.25 + (B4-609350)*0.37))))))</f>
        <v>25538.5</v>
      </c>
      <c r="C6" s="6">
        <f>IF(C4&lt;=47025, 0, IF(C4&lt;=518900, (C4-47025)*0.15, (518900-47025)*0.15 + (C4-518900)*0.2))</f>
        <v>13256.25</v>
      </c>
      <c r="D6" s="5">
        <f t="shared" si="1"/>
        <v>-12282.25</v>
      </c>
    </row>
    <row r="7">
      <c r="A7" s="3" t="s">
        <v>9</v>
      </c>
      <c r="B7" s="6">
        <f t="shared" ref="B7:C7" si="3">B4*0.07</f>
        <v>9478</v>
      </c>
      <c r="C7" s="6">
        <f t="shared" si="3"/>
        <v>9478</v>
      </c>
      <c r="D7" s="5">
        <f t="shared" si="1"/>
        <v>0</v>
      </c>
    </row>
    <row r="8">
      <c r="A8" s="8" t="s">
        <v>10</v>
      </c>
      <c r="B8" s="9">
        <f t="shared" ref="B8:C8" si="4">SUM(B5:B7)</f>
        <v>46491.5</v>
      </c>
      <c r="C8" s="9">
        <f t="shared" si="4"/>
        <v>22734.25</v>
      </c>
      <c r="D8" s="5">
        <f t="shared" si="1"/>
        <v>-23757.25</v>
      </c>
    </row>
    <row r="9">
      <c r="A9" s="8" t="s">
        <v>11</v>
      </c>
      <c r="B9" s="9">
        <f t="shared" ref="B9:C9" si="5">B2-B8</f>
        <v>103508.5</v>
      </c>
      <c r="C9" s="9">
        <f t="shared" si="5"/>
        <v>127265.75</v>
      </c>
      <c r="D9" s="5">
        <f t="shared" si="1"/>
        <v>23757.25</v>
      </c>
    </row>
    <row r="10">
      <c r="A10" s="3" t="s">
        <v>12</v>
      </c>
      <c r="B10" s="10">
        <f t="shared" ref="B10:C10" si="6">B8/B2</f>
        <v>0.3099433333</v>
      </c>
      <c r="C10" s="10">
        <f t="shared" si="6"/>
        <v>0.1515616667</v>
      </c>
      <c r="D10" s="11">
        <f t="shared" si="1"/>
        <v>-0.1583816667</v>
      </c>
    </row>
    <row r="11">
      <c r="A11" s="12"/>
      <c r="B11" s="12"/>
      <c r="C11" s="12"/>
    </row>
    <row r="12">
      <c r="A12" s="13" t="s">
        <v>13</v>
      </c>
    </row>
  </sheetData>
  <mergeCells count="1">
    <mergeCell ref="A12:D12"/>
  </mergeCells>
  <drawing r:id="rId1"/>
</worksheet>
</file>